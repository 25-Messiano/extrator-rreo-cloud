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latorio Financeiro" sheetId="1" state="visible" r:id="rId1"/>
  </sheets>
  <definedNames>
    <definedName name="_xlnm.Print_Area" localSheetId="0">'Relatorio Financeiro'!$A$1:$I$109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\R\$\ #,##0.00"/>
    <numFmt numFmtId="165" formatCode="#,##0.00;[Red]\(#,##0.00\);\-"/>
    <numFmt numFmtId="166" formatCode="#,##0.00;[Red](#,##0.00);-"/>
  </numFmts>
  <fonts count="9">
    <font>
      <name val="Calibri"/>
      <family val="2"/>
      <color theme="1"/>
      <sz val="11"/>
      <scheme val="minor"/>
    </font>
    <font>
      <name val="Arial"/>
      <family val="2"/>
      <sz val="8"/>
    </font>
    <font>
      <name val="Arial"/>
      <family val="2"/>
      <sz val="7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Calibri"/>
      <family val="2"/>
      <b val="1"/>
      <color theme="1"/>
      <sz val="11"/>
      <scheme val="minor"/>
    </font>
    <font>
      <name val="Arial"/>
      <sz val="9"/>
    </font>
    <font>
      <name val="Arial"/>
      <b val="1"/>
      <sz val="9"/>
    </font>
  </fonts>
  <fills count="2">
    <fill>
      <patternFill/>
    </fill>
    <fill>
      <patternFill patternType="gray125"/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/>
    </border>
    <border>
      <left/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</borders>
  <cellStyleXfs count="1">
    <xf numFmtId="0" fontId="0" fillId="0" borderId="8"/>
  </cellStyleXfs>
  <cellXfs count="9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left" vertical="center"/>
    </xf>
    <xf numFmtId="165" fontId="1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5" fillId="0" borderId="2" applyAlignment="1" pivotButton="0" quotePrefix="0" xfId="0">
      <alignment horizontal="right" vertical="center"/>
    </xf>
    <xf numFmtId="0" fontId="0" fillId="0" borderId="2" pivotButton="0" quotePrefix="0" xfId="0"/>
    <xf numFmtId="0" fontId="1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165" fontId="5" fillId="0" borderId="2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5" fontId="5" fillId="0" borderId="3" applyAlignment="1" pivotButton="0" quotePrefix="0" xfId="0">
      <alignment horizontal="right" vertical="center"/>
    </xf>
    <xf numFmtId="0" fontId="0" fillId="0" borderId="3" pivotButton="0" quotePrefix="0" xfId="0"/>
    <xf numFmtId="165" fontId="1" fillId="0" borderId="5" applyAlignment="1" pivotButton="0" quotePrefix="0" xfId="0">
      <alignment horizontal="right" vertical="center"/>
    </xf>
    <xf numFmtId="0" fontId="0" fillId="0" borderId="6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/>
    </xf>
    <xf numFmtId="165" fontId="1" fillId="0" borderId="8" applyAlignment="1" pivotButton="0" quotePrefix="0" xfId="0">
      <alignment horizontal="right" vertical="center"/>
    </xf>
    <xf numFmtId="0" fontId="0" fillId="0" borderId="9" pivotButton="0" quotePrefix="0" xfId="0"/>
    <xf numFmtId="0" fontId="5" fillId="0" borderId="1" pivotButton="0" quotePrefix="0" xfId="0"/>
    <xf numFmtId="0" fontId="1" fillId="0" borderId="7" applyAlignment="1" pivotButton="0" quotePrefix="0" xfId="0">
      <alignment horizontal="right" vertical="center"/>
    </xf>
    <xf numFmtId="0" fontId="0" fillId="0" borderId="8" pivotButton="0" quotePrefix="0" xfId="0"/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5" fillId="0" borderId="3" applyAlignment="1" pivotButton="0" quotePrefix="0" xfId="0">
      <alignment horizontal="right" vertical="center"/>
    </xf>
    <xf numFmtId="0" fontId="1" fillId="0" borderId="4" applyAlignment="1" pivotButton="0" quotePrefix="0" xfId="0">
      <alignment horizontal="right" vertical="center"/>
    </xf>
    <xf numFmtId="0" fontId="0" fillId="0" borderId="5" pivotButton="0" quotePrefix="0" xfId="0"/>
    <xf numFmtId="165" fontId="5" fillId="0" borderId="11" applyAlignment="1" pivotButton="0" quotePrefix="0" xfId="0">
      <alignment horizontal="right" vertical="center"/>
    </xf>
    <xf numFmtId="0" fontId="0" fillId="0" borderId="12" pivotButton="0" quotePrefix="0" xfId="0"/>
    <xf numFmtId="0" fontId="5" fillId="0" borderId="10" applyAlignment="1" pivotButton="0" quotePrefix="0" xfId="0">
      <alignment horizontal="right" vertical="center"/>
    </xf>
    <xf numFmtId="0" fontId="0" fillId="0" borderId="11" pivotButton="0" quotePrefix="0" xfId="0"/>
    <xf numFmtId="0" fontId="2" fillId="0" borderId="0" applyAlignment="1" pivotButton="0" quotePrefix="0" xfId="0">
      <alignment horizontal="right" vertical="center"/>
    </xf>
    <xf numFmtId="0" fontId="1" fillId="0" borderId="5" applyAlignment="1" pivotButton="0" quotePrefix="0" xfId="0">
      <alignment horizontal="right" vertical="center"/>
    </xf>
    <xf numFmtId="0" fontId="1" fillId="0" borderId="8" applyAlignment="1" pivotButton="0" quotePrefix="0" xfId="0">
      <alignment horizontal="right" vertical="center"/>
    </xf>
    <xf numFmtId="0" fontId="5" fillId="0" borderId="11" applyAlignment="1" pivotButton="0" quotePrefix="0" xfId="0">
      <alignment horizontal="right" vertical="center"/>
    </xf>
    <xf numFmtId="0" fontId="4" fillId="0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14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center"/>
    </xf>
    <xf numFmtId="0" fontId="1" fillId="0" borderId="13" applyAlignment="1" pivotButton="0" quotePrefix="0" xfId="0">
      <alignment horizontal="left" vertical="center" wrapText="1"/>
    </xf>
    <xf numFmtId="0" fontId="0" fillId="0" borderId="13" pivotButton="0" quotePrefix="0" xfId="0"/>
    <xf numFmtId="165" fontId="1" fillId="0" borderId="13" applyAlignment="1" pivotButton="0" quotePrefix="0" xfId="0">
      <alignment horizontal="right" vertical="center"/>
    </xf>
    <xf numFmtId="0" fontId="5" fillId="0" borderId="13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 wrapText="1"/>
    </xf>
    <xf numFmtId="0" fontId="6" fillId="0" borderId="13" pivotButton="0" quotePrefix="0" xfId="0"/>
    <xf numFmtId="0" fontId="5" fillId="0" borderId="13" applyAlignment="1" pivotButton="0" quotePrefix="0" xfId="0">
      <alignment horizontal="left" vertical="center"/>
    </xf>
    <xf numFmtId="165" fontId="5" fillId="0" borderId="8" applyAlignment="1" pivotButton="0" quotePrefix="0" xfId="0">
      <alignment horizontal="right" vertical="center"/>
    </xf>
    <xf numFmtId="0" fontId="7" fillId="0" borderId="8" applyAlignment="1" pivotButton="0" quotePrefix="0" xfId="0">
      <alignment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8" fillId="0" borderId="22" applyAlignment="1" pivotButton="0" quotePrefix="0" xfId="0">
      <alignment vertical="center" wrapText="1"/>
    </xf>
    <xf numFmtId="0" fontId="8" fillId="0" borderId="23" pivotButton="0" quotePrefix="0" xfId="0"/>
    <xf numFmtId="0" fontId="8" fillId="0" borderId="23" applyAlignment="1" pivotButton="0" quotePrefix="0" xfId="0">
      <alignment vertical="center" wrapText="1"/>
    </xf>
    <xf numFmtId="0" fontId="8" fillId="0" borderId="24" applyAlignment="1" pivotButton="0" quotePrefix="0" xfId="0">
      <alignment vertical="center" wrapText="1"/>
    </xf>
    <xf numFmtId="0" fontId="8" fillId="0" borderId="25" applyAlignment="1" pivotButton="0" quotePrefix="0" xfId="0">
      <alignment vertical="center" wrapText="1"/>
    </xf>
    <xf numFmtId="0" fontId="0" fillId="0" borderId="26" pivotButton="0" quotePrefix="0" xfId="0"/>
    <xf numFmtId="166" fontId="7" fillId="0" borderId="26" applyAlignment="1" pivotButton="0" quotePrefix="0" xfId="0">
      <alignment horizontal="right" vertical="center"/>
    </xf>
    <xf numFmtId="166" fontId="7" fillId="0" borderId="27" applyAlignment="1" pivotButton="0" quotePrefix="0" xfId="0">
      <alignment horizontal="right" vertical="center"/>
    </xf>
    <xf numFmtId="0" fontId="7" fillId="0" borderId="28" applyAlignment="1" pivotButton="0" quotePrefix="0" xfId="0">
      <alignment vertical="center" wrapText="1"/>
    </xf>
    <xf numFmtId="0" fontId="0" fillId="0" borderId="29" pivotButton="0" quotePrefix="0" xfId="0"/>
    <xf numFmtId="166" fontId="7" fillId="0" borderId="29" applyAlignment="1" pivotButton="0" quotePrefix="0" xfId="0">
      <alignment vertical="center" wrapText="1"/>
    </xf>
    <xf numFmtId="166" fontId="7" fillId="0" borderId="30" applyAlignment="1" pivotButton="0" quotePrefix="0" xfId="0">
      <alignment vertical="center" wrapText="1"/>
    </xf>
    <xf numFmtId="0" fontId="1" fillId="0" borderId="25" applyAlignment="1" pivotButton="0" quotePrefix="0" xfId="0">
      <alignment horizontal="left" vertical="center"/>
    </xf>
    <xf numFmtId="0" fontId="1" fillId="0" borderId="26" applyAlignment="1" pivotButton="0" quotePrefix="0" xfId="0">
      <alignment horizontal="left" vertical="center"/>
    </xf>
    <xf numFmtId="0" fontId="1" fillId="0" borderId="27" applyAlignment="1" pivotButton="0" quotePrefix="0" xfId="0">
      <alignment horizontal="left" vertical="center"/>
    </xf>
    <xf numFmtId="0" fontId="8" fillId="0" borderId="22" applyAlignment="1" pivotButton="0" quotePrefix="0" xfId="0">
      <alignment horizontal="center" vertical="center" wrapText="1"/>
    </xf>
    <xf numFmtId="0" fontId="8" fillId="0" borderId="24" pivotButton="0" quotePrefix="0" xfId="0"/>
    <xf numFmtId="166" fontId="8" fillId="0" borderId="26" applyAlignment="1" pivotButton="0" quotePrefix="0" xfId="0">
      <alignment vertical="center" wrapText="1"/>
    </xf>
    <xf numFmtId="0" fontId="0" fillId="0" borderId="27" pivotButton="0" quotePrefix="0" xfId="0"/>
    <xf numFmtId="166" fontId="8" fillId="0" borderId="26" applyAlignment="1" pivotButton="0" quotePrefix="0" xfId="0">
      <alignment horizontal="right" vertical="center"/>
    </xf>
    <xf numFmtId="0" fontId="8" fillId="0" borderId="28" applyAlignment="1" pivotButton="0" quotePrefix="0" xfId="0">
      <alignment vertical="center" wrapText="1"/>
    </xf>
    <xf numFmtId="166" fontId="8" fillId="0" borderId="29" applyAlignment="1" pivotButton="0" quotePrefix="0" xfId="0">
      <alignment vertical="center" wrapText="1"/>
    </xf>
    <xf numFmtId="0" fontId="0" fillId="0" borderId="30" pivotButton="0" quotePrefix="0" xfId="0"/>
    <xf numFmtId="0" fontId="8" fillId="0" borderId="21" applyAlignment="1" pivotButton="0" quotePrefix="0" xfId="0">
      <alignment vertical="center" wrapText="1"/>
    </xf>
    <xf numFmtId="0" fontId="8" fillId="0" borderId="21" pivotButton="0" quotePrefix="0" xfId="0"/>
    <xf numFmtId="0" fontId="8" fillId="0" borderId="13" applyAlignment="1" pivotButton="0" quotePrefix="0" xfId="0">
      <alignment vertical="center" wrapText="1"/>
    </xf>
    <xf numFmtId="0" fontId="0" fillId="0" borderId="19" pivotButton="0" quotePrefix="0" xfId="0"/>
    <xf numFmtId="0" fontId="0" fillId="0" borderId="18" pivotButton="0" quotePrefix="0" xfId="0"/>
    <xf numFmtId="166" fontId="7" fillId="0" borderId="13" applyAlignment="1" pivotButton="0" quotePrefix="0" xfId="0">
      <alignment horizontal="right" vertical="center"/>
    </xf>
    <xf numFmtId="0" fontId="7" fillId="0" borderId="13" applyAlignment="1" pivotButton="0" quotePrefix="0" xfId="0">
      <alignment vertical="center" wrapText="1"/>
    </xf>
    <xf numFmtId="166" fontId="8" fillId="0" borderId="21" applyAlignment="1" pivotButton="0" quotePrefix="0" xfId="0">
      <alignment vertical="center" wrapText="1"/>
    </xf>
    <xf numFmtId="0" fontId="8" fillId="0" borderId="21" applyAlignment="1" pivotButton="0" quotePrefix="0" xfId="0">
      <alignment horizontal="left" vertical="center"/>
    </xf>
    <xf numFmtId="0" fontId="7" fillId="0" borderId="0" applyAlignment="1" pivotButton="0" quotePrefix="0" xfId="0">
      <alignment vertical="center" wrapText="1"/>
    </xf>
    <xf numFmtId="166" fontId="7" fillId="0" borderId="8" applyAlignment="1" pivotButton="0" quotePrefix="0" xfId="0">
      <alignment horizontal="right" vertical="center"/>
    </xf>
    <xf numFmtId="0" fontId="7" fillId="0" borderId="4" applyAlignment="1" pivotButton="0" quotePrefix="0" xfId="0">
      <alignment vertical="center" wrapText="1"/>
    </xf>
    <xf numFmtId="166" fontId="7" fillId="0" borderId="6" applyAlignment="1" pivotButton="0" quotePrefix="0" xfId="0">
      <alignment horizontal="right" vertical="center"/>
    </xf>
    <xf numFmtId="0" fontId="7" fillId="0" borderId="7" applyAlignment="1" pivotButton="0" quotePrefix="0" xfId="0">
      <alignment vertical="center" wrapText="1"/>
    </xf>
    <xf numFmtId="166" fontId="7" fillId="0" borderId="9" applyAlignment="1" pivotButton="0" quotePrefix="0" xfId="0">
      <alignment horizontal="right" vertical="center"/>
    </xf>
    <xf numFmtId="166" fontId="7" fillId="0" borderId="9" applyAlignment="1" pivotButton="0" quotePrefix="0" xfId="0">
      <alignment vertical="center" wrapText="1"/>
    </xf>
    <xf numFmtId="0" fontId="8" fillId="0" borderId="10" applyAlignment="1" pivotButton="0" quotePrefix="0" xfId="0">
      <alignment vertical="center" wrapText="1"/>
    </xf>
    <xf numFmtId="166" fontId="8" fillId="0" borderId="1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OpenAI</author>
  </authors>
  <commentList>
    <comment ref="A3" authorId="0" shapeId="0">
      <text>
        <t>Fonte: https://aplb.sispc.com.br/apps/financeiro/files/receitas/print_relat.php?id=366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20"/>
  <sheetViews>
    <sheetView showGridLines="0" tabSelected="1" topLeftCell="A6" workbookViewId="0">
      <pane ySplit="7" topLeftCell="A8" activePane="bottomLeft" state="frozen"/>
      <selection pane="bottomLeft" activeCell="H24" sqref="H24:I24"/>
    </sheetView>
  </sheetViews>
  <sheetFormatPr baseColWidth="8" defaultRowHeight="14.4"/>
  <cols>
    <col width="12" customWidth="1" style="5" min="1" max="2"/>
    <col width="4" customWidth="1" style="5" min="2" max="2"/>
    <col width="60" customWidth="1" style="5" min="3" max="9"/>
    <col width="4" customWidth="1" style="5" min="4" max="4"/>
    <col width="4" customWidth="1" style="5" min="5" max="5"/>
    <col width="17" customWidth="1" style="5" min="6" max="6"/>
    <col width="17" customWidth="1" style="5" min="7" max="7"/>
    <col width="24" customWidth="1" style="5" min="8" max="8"/>
    <col width="17" customWidth="1" style="5" min="9" max="9"/>
  </cols>
  <sheetData>
    <row r="1">
      <c r="A1" s="51" t="inlineStr">
        <is>
          <t>01/09/2026, 15:19</t>
        </is>
      </c>
      <c r="D1" s="51" t="inlineStr">
        <is>
          <t>Relatório de Execução Financeira</t>
        </is>
      </c>
      <c r="H1" s="1" t="n"/>
      <c r="I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3" ht="24" customHeight="1" s="5">
      <c r="A3" s="52" t="inlineStr">
        <is>
          <t>Prestacao de Contas - Relatório de Execução Financeira - Período 01/04/2026 a 30/04/2026</t>
        </is>
      </c>
      <c r="B3" s="7" t="n"/>
      <c r="C3" s="7" t="n"/>
      <c r="D3" s="7" t="n"/>
      <c r="E3" s="7" t="n"/>
      <c r="F3" s="7" t="n"/>
      <c r="G3" s="7" t="n"/>
      <c r="H3" s="7" t="n"/>
      <c r="I3" s="53" t="n"/>
    </row>
    <row r="4" ht="24" customHeight="1" s="5">
      <c r="A4" s="52" t="inlineStr">
        <is>
          <t>Tabela 02 - Demonstrativo Analítico de Receitas e Despesas no Período</t>
        </is>
      </c>
      <c r="B4" s="7" t="n"/>
      <c r="C4" s="7" t="n"/>
      <c r="D4" s="7" t="n"/>
      <c r="E4" s="7" t="n"/>
      <c r="F4" s="7" t="n"/>
      <c r="G4" s="7" t="n"/>
      <c r="H4" s="7" t="n"/>
      <c r="I4" s="53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24" customHeight="1" s="5">
      <c r="A6" s="52" t="inlineStr">
        <is>
          <t>Araci-BA</t>
        </is>
      </c>
      <c r="B6" s="7" t="n"/>
      <c r="C6" s="7" t="n"/>
      <c r="D6" s="7" t="n"/>
      <c r="E6" s="7" t="n"/>
      <c r="F6" s="7" t="n"/>
      <c r="G6" s="7" t="n"/>
      <c r="H6" s="7" t="n"/>
      <c r="I6" s="53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>
      <c r="A8" s="54" t="inlineStr">
        <is>
          <t>Conta bancária:</t>
        </is>
      </c>
      <c r="B8" s="55" t="n"/>
      <c r="C8" s="55" t="n"/>
      <c r="D8" s="55" t="n"/>
      <c r="E8" s="55" t="n"/>
      <c r="F8" s="56" t="inlineStr">
        <is>
          <t>Conta Corrente</t>
        </is>
      </c>
      <c r="G8" s="56" t="inlineStr">
        <is>
          <t>Conta Poupança</t>
        </is>
      </c>
      <c r="H8" s="56" t="inlineStr">
        <is>
          <t>Conta Aplicação</t>
        </is>
      </c>
      <c r="I8" s="57" t="inlineStr">
        <is>
          <t>Conta Capital</t>
        </is>
      </c>
    </row>
    <row r="9" ht="34" customHeight="1" s="5">
      <c r="A9" s="58" t="inlineStr">
        <is>
          <t>001 - BANCO DO BRASIL
Agência: 1456-7 Conta: 22966-0</t>
        </is>
      </c>
      <c r="B9" s="59" t="n"/>
      <c r="C9" s="59" t="n"/>
      <c r="D9" s="59" t="n"/>
      <c r="E9" s="59" t="n"/>
      <c r="F9" s="60" t="n">
        <v>7159.26</v>
      </c>
      <c r="G9" s="60" t="n">
        <v>0</v>
      </c>
      <c r="H9" s="60" t="n">
        <v>0</v>
      </c>
      <c r="I9" s="61" t="n">
        <v>0</v>
      </c>
    </row>
    <row r="10">
      <c r="A10" s="62" t="inlineStr">
        <is>
          <t>Total em contas:</t>
        </is>
      </c>
      <c r="B10" s="63" t="n"/>
      <c r="C10" s="63" t="n"/>
      <c r="D10" s="63" t="n"/>
      <c r="E10" s="63" t="n"/>
      <c r="F10" s="64">
        <f>F9</f>
        <v/>
      </c>
      <c r="G10" s="64">
        <f>G9</f>
        <v/>
      </c>
      <c r="H10" s="64">
        <f>H9</f>
        <v/>
      </c>
      <c r="I10" s="65">
        <f>I9</f>
        <v/>
      </c>
    </row>
    <row r="11">
      <c r="A11" s="66" t="n"/>
      <c r="B11" s="67" t="n"/>
      <c r="C11" s="67" t="n"/>
      <c r="D11" s="67" t="n"/>
      <c r="E11" s="67" t="n"/>
      <c r="F11" s="67" t="n"/>
      <c r="G11" s="67" t="n"/>
      <c r="H11" s="67" t="n"/>
      <c r="I11" s="68" t="n"/>
    </row>
    <row r="12" ht="24" customHeight="1" s="5">
      <c r="A12" s="69" t="inlineStr">
        <is>
          <t>Resumo</t>
        </is>
      </c>
      <c r="B12" s="55" t="n"/>
      <c r="C12" s="55" t="n"/>
      <c r="D12" s="55" t="n"/>
      <c r="E12" s="55" t="n"/>
      <c r="F12" s="55" t="n"/>
      <c r="G12" s="55" t="n"/>
      <c r="H12" s="55" t="n"/>
      <c r="I12" s="70" t="n"/>
    </row>
    <row r="13">
      <c r="A13" s="58" t="inlineStr">
        <is>
          <t>SALDO EM CONTAS:</t>
        </is>
      </c>
      <c r="B13" s="59" t="n"/>
      <c r="C13" s="59" t="n"/>
      <c r="D13" s="59" t="n"/>
      <c r="E13" s="59" t="n"/>
      <c r="F13" s="71">
        <f>SUM(F10:I10)</f>
        <v/>
      </c>
      <c r="G13" s="59" t="n"/>
      <c r="H13" s="59" t="n"/>
      <c r="I13" s="72" t="n"/>
    </row>
    <row r="14">
      <c r="A14" s="58" t="inlineStr">
        <is>
          <t>SALDO EM CAIXA( EM ESPÉCIE ):</t>
        </is>
      </c>
      <c r="B14" s="59" t="n"/>
      <c r="C14" s="59" t="n"/>
      <c r="D14" s="59" t="n"/>
      <c r="E14" s="59" t="n"/>
      <c r="F14" s="73" t="n">
        <v>46010.87</v>
      </c>
      <c r="G14" s="59" t="n"/>
      <c r="H14" s="59" t="n"/>
      <c r="I14" s="72" t="n"/>
    </row>
    <row r="15">
      <c r="A15" s="74" t="inlineStr">
        <is>
          <t>SALDO FINAL:</t>
        </is>
      </c>
      <c r="B15" s="63" t="n"/>
      <c r="C15" s="63" t="n"/>
      <c r="D15" s="63" t="n"/>
      <c r="E15" s="63" t="n"/>
      <c r="F15" s="75">
        <f>F13+F14</f>
        <v/>
      </c>
      <c r="G15" s="63" t="n"/>
      <c r="H15" s="63" t="n"/>
      <c r="I15" s="76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</row>
    <row r="17" ht="40" customHeight="1" s="5">
      <c r="A17" s="77" t="inlineStr">
        <is>
          <t>1. Receitas</t>
        </is>
      </c>
      <c r="B17" s="78" t="n"/>
      <c r="C17" s="78" t="n"/>
      <c r="D17" s="78" t="n"/>
      <c r="E17" s="78" t="n"/>
      <c r="F17" s="78" t="n"/>
      <c r="G17" s="78" t="n"/>
      <c r="H17" s="77" t="inlineStr">
        <is>
          <t>Período 01/04/2026 a
30/04/2026
Receitas Recebidas</t>
        </is>
      </c>
      <c r="I17" s="78" t="n"/>
    </row>
    <row r="18">
      <c r="A18" s="79" t="inlineStr">
        <is>
          <t>1.1</t>
        </is>
      </c>
      <c r="B18" s="49" t="n"/>
      <c r="C18" s="79" t="inlineStr">
        <is>
          <t>Mensalidade Sindical</t>
        </is>
      </c>
      <c r="D18" s="80" t="n"/>
      <c r="E18" s="80" t="n"/>
      <c r="F18" s="80" t="n"/>
      <c r="G18" s="81" t="n"/>
      <c r="H18" s="82" t="n">
        <v>53804.68</v>
      </c>
      <c r="I18" s="81" t="n"/>
    </row>
    <row r="19">
      <c r="A19" s="83" t="inlineStr">
        <is>
          <t>1.2</t>
        </is>
      </c>
      <c r="B19" s="42" t="n"/>
      <c r="C19" s="83" t="inlineStr">
        <is>
          <t>Rendimento de Aplicações Financeiras</t>
        </is>
      </c>
      <c r="D19" s="80" t="n"/>
      <c r="E19" s="80" t="n"/>
      <c r="F19" s="80" t="n"/>
      <c r="G19" s="81" t="n"/>
      <c r="H19" s="82" t="n">
        <v>46.5</v>
      </c>
      <c r="I19" s="81" t="n"/>
    </row>
    <row r="20">
      <c r="A20" s="83" t="inlineStr">
        <is>
          <t>1.3</t>
        </is>
      </c>
      <c r="B20" s="42" t="n"/>
      <c r="C20" s="83" t="inlineStr">
        <is>
          <t>Captação de Recursos de Terceiros</t>
        </is>
      </c>
      <c r="D20" s="80" t="n"/>
      <c r="E20" s="80" t="n"/>
      <c r="F20" s="80" t="n"/>
      <c r="G20" s="81" t="n"/>
      <c r="H20" s="82" t="n">
        <v>0</v>
      </c>
      <c r="I20" s="81" t="n"/>
    </row>
    <row r="21">
      <c r="A21" s="83" t="inlineStr">
        <is>
          <t>1.4</t>
        </is>
      </c>
      <c r="B21" s="42" t="n"/>
      <c r="C21" s="83" t="inlineStr">
        <is>
          <t>Transferência entre contas</t>
        </is>
      </c>
      <c r="D21" s="80" t="n"/>
      <c r="E21" s="80" t="n"/>
      <c r="F21" s="80" t="n"/>
      <c r="G21" s="81" t="n"/>
      <c r="H21" s="82" t="n">
        <v>107670.74</v>
      </c>
      <c r="I21" s="81" t="n"/>
    </row>
    <row r="22">
      <c r="A22" s="83" t="inlineStr">
        <is>
          <t>1.5</t>
        </is>
      </c>
      <c r="B22" s="42" t="n"/>
      <c r="C22" s="83" t="inlineStr">
        <is>
          <t>Outras Receitas</t>
        </is>
      </c>
      <c r="D22" s="80" t="n"/>
      <c r="E22" s="80" t="n"/>
      <c r="F22" s="80" t="n"/>
      <c r="G22" s="81" t="n"/>
      <c r="H22" s="82" t="n">
        <v>100</v>
      </c>
      <c r="I22" s="81" t="n"/>
    </row>
    <row r="23">
      <c r="A23" s="77" t="inlineStr">
        <is>
          <t>Subtotal</t>
        </is>
      </c>
      <c r="B23" s="78" t="n"/>
      <c r="C23" s="78" t="n"/>
      <c r="D23" s="78" t="n"/>
      <c r="E23" s="78" t="n"/>
      <c r="F23" s="78" t="n"/>
      <c r="G23" s="78" t="n"/>
      <c r="H23" s="84">
        <f>SUM(H18:H22)</f>
        <v/>
      </c>
      <c r="I23" s="78" t="n"/>
    </row>
    <row r="24" ht="34" customHeight="1" s="5">
      <c r="A24" s="77" t="inlineStr">
        <is>
          <t>2. Despesas</t>
        </is>
      </c>
      <c r="B24" s="78" t="n"/>
      <c r="C24" s="78" t="n"/>
      <c r="D24" s="78" t="n"/>
      <c r="E24" s="78" t="n"/>
      <c r="F24" s="78" t="n"/>
      <c r="G24" s="78" t="n"/>
      <c r="H24" s="77" t="inlineStr">
        <is>
          <t>Período 01/04/2026 a
30/04/2026</t>
        </is>
      </c>
      <c r="I24" s="78" t="n"/>
    </row>
    <row r="25" ht="24" customHeight="1" s="5">
      <c r="A25" s="77" t="inlineStr">
        <is>
          <t>2.1</t>
        </is>
      </c>
      <c r="B25" s="85" t="n"/>
      <c r="C25" s="77" t="inlineStr">
        <is>
          <t>Despesas de Pessoal (Remunerações)</t>
        </is>
      </c>
      <c r="D25" s="78" t="n"/>
      <c r="E25" s="78" t="n"/>
      <c r="F25" s="78" t="n"/>
      <c r="G25" s="78" t="n"/>
      <c r="H25" s="77" t="inlineStr">
        <is>
          <t>Despesas Pagas</t>
        </is>
      </c>
      <c r="I25" s="78" t="n"/>
    </row>
    <row r="26">
      <c r="A26" s="83" t="inlineStr">
        <is>
          <t>2.1.1</t>
        </is>
      </c>
      <c r="B26" s="42" t="n"/>
      <c r="C26" s="83" t="inlineStr">
        <is>
          <t>Folha de Pagamento</t>
        </is>
      </c>
      <c r="D26" s="80" t="n"/>
      <c r="E26" s="80" t="n"/>
      <c r="F26" s="80" t="n"/>
      <c r="G26" s="81" t="n"/>
      <c r="H26" s="82" t="n">
        <v>7248.53</v>
      </c>
      <c r="I26" s="81" t="n"/>
    </row>
    <row r="27">
      <c r="A27" s="83" t="inlineStr">
        <is>
          <t>2.1.2</t>
        </is>
      </c>
      <c r="B27" s="42" t="n"/>
      <c r="C27" s="83" t="inlineStr">
        <is>
          <t>Acordo Coletivo</t>
        </is>
      </c>
      <c r="D27" s="80" t="n"/>
      <c r="E27" s="80" t="n"/>
      <c r="F27" s="80" t="n"/>
      <c r="G27" s="81" t="n"/>
      <c r="H27" s="82" t="n">
        <v>0</v>
      </c>
      <c r="I27" s="81" t="n"/>
    </row>
    <row r="28">
      <c r="A28" s="83" t="inlineStr">
        <is>
          <t>2.1.3</t>
        </is>
      </c>
      <c r="B28" s="42" t="n"/>
      <c r="C28" s="83" t="inlineStr">
        <is>
          <t>Outros (Especificar)</t>
        </is>
      </c>
      <c r="D28" s="80" t="n"/>
      <c r="E28" s="80" t="n"/>
      <c r="F28" s="80" t="n"/>
      <c r="G28" s="81" t="n"/>
      <c r="H28" s="82" t="n">
        <v>1192</v>
      </c>
      <c r="I28" s="81" t="n"/>
    </row>
    <row r="29">
      <c r="A29" s="77" t="inlineStr">
        <is>
          <t>Subtotal</t>
        </is>
      </c>
      <c r="B29" s="78" t="n"/>
      <c r="C29" s="78" t="n"/>
      <c r="D29" s="78" t="n"/>
      <c r="E29" s="78" t="n"/>
      <c r="F29" s="78" t="n"/>
      <c r="G29" s="78" t="n"/>
      <c r="H29" s="84">
        <f>SUM(H26:H28)</f>
        <v/>
      </c>
      <c r="I29" s="78" t="n"/>
    </row>
    <row r="30" ht="24" customHeight="1" s="5">
      <c r="A30" s="77" t="inlineStr">
        <is>
          <t>2.2</t>
        </is>
      </c>
      <c r="B30" s="85" t="n"/>
      <c r="C30" s="77" t="inlineStr">
        <is>
          <t>Despesas de Pessoal (Encargos Sociais)</t>
        </is>
      </c>
      <c r="D30" s="78" t="n"/>
      <c r="E30" s="78" t="n"/>
      <c r="F30" s="78" t="n"/>
      <c r="G30" s="78" t="n"/>
      <c r="H30" s="77" t="inlineStr">
        <is>
          <t>Despesas Pagas</t>
        </is>
      </c>
      <c r="I30" s="78" t="n"/>
    </row>
    <row r="31">
      <c r="A31" s="83" t="inlineStr">
        <is>
          <t>2.2.1</t>
        </is>
      </c>
      <c r="B31" s="42" t="n"/>
      <c r="C31" s="83" t="inlineStr">
        <is>
          <t>FGTS</t>
        </is>
      </c>
      <c r="D31" s="80" t="n"/>
      <c r="E31" s="80" t="n"/>
      <c r="F31" s="80" t="n"/>
      <c r="G31" s="81" t="n"/>
      <c r="H31" s="82" t="n">
        <v>147.4</v>
      </c>
      <c r="I31" s="81" t="n"/>
    </row>
    <row r="32">
      <c r="A32" s="83" t="inlineStr">
        <is>
          <t>2.2.2</t>
        </is>
      </c>
      <c r="B32" s="42" t="n"/>
      <c r="C32" s="83" t="inlineStr">
        <is>
          <t>FGTS Multa Rescisória</t>
        </is>
      </c>
      <c r="D32" s="80" t="n"/>
      <c r="E32" s="80" t="n"/>
      <c r="F32" s="80" t="n"/>
      <c r="G32" s="81" t="n"/>
      <c r="H32" s="82" t="n">
        <v>1784.8</v>
      </c>
      <c r="I32" s="81" t="n"/>
    </row>
    <row r="33">
      <c r="A33" s="83" t="inlineStr">
        <is>
          <t>2.2.3</t>
        </is>
      </c>
      <c r="B33" s="42" t="n"/>
      <c r="C33" s="83" t="inlineStr">
        <is>
          <t>Rescisão de Trabalho (Saldo de Salário, Aviso Prévio, Outros)</t>
        </is>
      </c>
      <c r="D33" s="80" t="n"/>
      <c r="E33" s="80" t="n"/>
      <c r="F33" s="80" t="n"/>
      <c r="G33" s="81" t="n"/>
      <c r="H33" s="82" t="n">
        <v>0</v>
      </c>
      <c r="I33" s="81" t="n"/>
    </row>
    <row r="34">
      <c r="A34" s="83" t="inlineStr">
        <is>
          <t>2.2.4</t>
        </is>
      </c>
      <c r="B34" s="42" t="n"/>
      <c r="C34" s="83" t="inlineStr">
        <is>
          <t>PIS sobre a Folha de Pagamento</t>
        </is>
      </c>
      <c r="D34" s="80" t="n"/>
      <c r="E34" s="80" t="n"/>
      <c r="F34" s="80" t="n"/>
      <c r="G34" s="81" t="n"/>
      <c r="H34" s="82" t="n">
        <v>0</v>
      </c>
      <c r="I34" s="81" t="n"/>
    </row>
    <row r="35">
      <c r="A35" s="83" t="inlineStr">
        <is>
          <t>2.2.5</t>
        </is>
      </c>
      <c r="B35" s="42" t="n"/>
      <c r="C35" s="83" t="inlineStr">
        <is>
          <t>1/3 sobre Férias</t>
        </is>
      </c>
      <c r="D35" s="80" t="n"/>
      <c r="E35" s="80" t="n"/>
      <c r="F35" s="80" t="n"/>
      <c r="G35" s="81" t="n"/>
      <c r="H35" s="82" t="n">
        <v>0</v>
      </c>
      <c r="I35" s="81" t="n"/>
    </row>
    <row r="36">
      <c r="A36" s="83" t="inlineStr">
        <is>
          <t>2.2.6</t>
        </is>
      </c>
      <c r="B36" s="42" t="n"/>
      <c r="C36" s="83" t="inlineStr">
        <is>
          <t>13º Salário</t>
        </is>
      </c>
      <c r="D36" s="80" t="n"/>
      <c r="E36" s="80" t="n"/>
      <c r="F36" s="80" t="n"/>
      <c r="G36" s="81" t="n"/>
      <c r="H36" s="82" t="n">
        <v>0</v>
      </c>
      <c r="I36" s="81" t="n"/>
    </row>
    <row r="37">
      <c r="A37" s="83" t="inlineStr">
        <is>
          <t>2.2.7</t>
        </is>
      </c>
      <c r="B37" s="42" t="n"/>
      <c r="C37" s="83" t="inlineStr">
        <is>
          <t>Despesas Sindicais</t>
        </is>
      </c>
      <c r="D37" s="80" t="n"/>
      <c r="E37" s="80" t="n"/>
      <c r="F37" s="80" t="n"/>
      <c r="G37" s="81" t="n"/>
      <c r="H37" s="82" t="n">
        <v>0</v>
      </c>
      <c r="I37" s="81" t="n"/>
    </row>
    <row r="38">
      <c r="A38" s="83" t="inlineStr">
        <is>
          <t>2.2.8</t>
        </is>
      </c>
      <c r="B38" s="42" t="n"/>
      <c r="C38" s="83" t="inlineStr">
        <is>
          <t>IRRF</t>
        </is>
      </c>
      <c r="D38" s="80" t="n"/>
      <c r="E38" s="80" t="n"/>
      <c r="F38" s="80" t="n"/>
      <c r="G38" s="81" t="n"/>
      <c r="H38" s="82" t="n">
        <v>0</v>
      </c>
      <c r="I38" s="81" t="n"/>
    </row>
    <row r="39">
      <c r="A39" s="83" t="inlineStr">
        <is>
          <t>2.2.9</t>
        </is>
      </c>
      <c r="B39" s="42" t="n"/>
      <c r="C39" s="83" t="inlineStr">
        <is>
          <t>ISSQN</t>
        </is>
      </c>
      <c r="D39" s="80" t="n"/>
      <c r="E39" s="80" t="n"/>
      <c r="F39" s="80" t="n"/>
      <c r="G39" s="81" t="n"/>
      <c r="H39" s="82" t="n">
        <v>0</v>
      </c>
      <c r="I39" s="81" t="n"/>
    </row>
    <row r="40">
      <c r="A40" s="83" t="inlineStr">
        <is>
          <t>2.2.10</t>
        </is>
      </c>
      <c r="B40" s="42" t="n"/>
      <c r="C40" s="83" t="inlineStr">
        <is>
          <t>Provisionamentos</t>
        </is>
      </c>
      <c r="D40" s="80" t="n"/>
      <c r="E40" s="80" t="n"/>
      <c r="F40" s="80" t="n"/>
      <c r="G40" s="81" t="n"/>
      <c r="H40" s="82" t="n">
        <v>0</v>
      </c>
      <c r="I40" s="81" t="n"/>
    </row>
    <row r="41">
      <c r="A41" s="83" t="inlineStr">
        <is>
          <t>2.2.11</t>
        </is>
      </c>
      <c r="B41" s="42" t="n"/>
      <c r="C41" s="83" t="inlineStr">
        <is>
          <t>Outros Encargos/Tributos (Especificar)</t>
        </is>
      </c>
      <c r="D41" s="80" t="n"/>
      <c r="E41" s="80" t="n"/>
      <c r="F41" s="80" t="n"/>
      <c r="G41" s="81" t="n"/>
      <c r="H41" s="82" t="n">
        <v>578.16</v>
      </c>
      <c r="I41" s="81" t="n"/>
    </row>
    <row r="42">
      <c r="A42" s="83" t="inlineStr">
        <is>
          <t>2.2.12</t>
        </is>
      </c>
      <c r="B42" s="42" t="n"/>
      <c r="C42" s="83" t="inlineStr">
        <is>
          <t>INSS</t>
        </is>
      </c>
      <c r="D42" s="80" t="n"/>
      <c r="E42" s="80" t="n"/>
      <c r="F42" s="80" t="n"/>
      <c r="G42" s="81" t="n"/>
      <c r="H42" s="82" t="n">
        <v>0</v>
      </c>
      <c r="I42" s="81" t="n"/>
    </row>
    <row r="43">
      <c r="A43" s="77" t="inlineStr">
        <is>
          <t>Subtotal</t>
        </is>
      </c>
      <c r="B43" s="78" t="n"/>
      <c r="C43" s="78" t="n"/>
      <c r="D43" s="78" t="n"/>
      <c r="E43" s="78" t="n"/>
      <c r="F43" s="78" t="n"/>
      <c r="G43" s="78" t="n"/>
      <c r="H43" s="84">
        <f>SUM(H31:H42)</f>
        <v/>
      </c>
      <c r="I43" s="78" t="n"/>
    </row>
    <row r="44" ht="24" customHeight="1" s="5">
      <c r="A44" s="77" t="inlineStr">
        <is>
          <t>2.3</t>
        </is>
      </c>
      <c r="B44" s="85" t="n"/>
      <c r="C44" s="77" t="inlineStr">
        <is>
          <t>Despesas de Pessoal (Benefícios e Insumos de Pessoal)</t>
        </is>
      </c>
      <c r="D44" s="78" t="n"/>
      <c r="E44" s="78" t="n"/>
      <c r="F44" s="78" t="n"/>
      <c r="G44" s="78" t="n"/>
      <c r="H44" s="77" t="inlineStr">
        <is>
          <t>Despesas Pagas</t>
        </is>
      </c>
      <c r="I44" s="78" t="n"/>
    </row>
    <row r="45">
      <c r="A45" s="83" t="inlineStr">
        <is>
          <t>2.3.1</t>
        </is>
      </c>
      <c r="B45" s="42" t="n"/>
      <c r="C45" s="83" t="inlineStr">
        <is>
          <t>Vale Transporte</t>
        </is>
      </c>
      <c r="D45" s="80" t="n"/>
      <c r="E45" s="80" t="n"/>
      <c r="F45" s="80" t="n"/>
      <c r="G45" s="81" t="n"/>
      <c r="H45" s="82" t="n">
        <v>0</v>
      </c>
      <c r="I45" s="81" t="n"/>
    </row>
    <row r="46">
      <c r="A46" s="83" t="inlineStr">
        <is>
          <t>2.3.2</t>
        </is>
      </c>
      <c r="B46" s="42" t="n"/>
      <c r="C46" s="83" t="inlineStr">
        <is>
          <t>Vale Alimentação</t>
        </is>
      </c>
      <c r="D46" s="80" t="n"/>
      <c r="E46" s="80" t="n"/>
      <c r="F46" s="80" t="n"/>
      <c r="G46" s="81" t="n"/>
      <c r="H46" s="82" t="n">
        <v>0</v>
      </c>
      <c r="I46" s="81" t="n"/>
    </row>
    <row r="47">
      <c r="A47" s="83" t="inlineStr">
        <is>
          <t>2.3.3</t>
        </is>
      </c>
      <c r="B47" s="42" t="n"/>
      <c r="C47" s="83" t="inlineStr">
        <is>
          <t>Plano de Saúde</t>
        </is>
      </c>
      <c r="D47" s="80" t="n"/>
      <c r="E47" s="80" t="n"/>
      <c r="F47" s="80" t="n"/>
      <c r="G47" s="81" t="n"/>
      <c r="H47" s="82" t="n">
        <v>0</v>
      </c>
      <c r="I47" s="81" t="n"/>
    </row>
    <row r="48">
      <c r="A48" s="83" t="inlineStr">
        <is>
          <t>2.3.4</t>
        </is>
      </c>
      <c r="B48" s="42" t="n"/>
      <c r="C48" s="83" t="inlineStr">
        <is>
          <t>Seguro de Vida</t>
        </is>
      </c>
      <c r="D48" s="80" t="n"/>
      <c r="E48" s="80" t="n"/>
      <c r="F48" s="80" t="n"/>
      <c r="G48" s="81" t="n"/>
      <c r="H48" s="82" t="n">
        <v>0</v>
      </c>
      <c r="I48" s="81" t="n"/>
    </row>
    <row r="49">
      <c r="A49" s="83" t="inlineStr">
        <is>
          <t>2.3.5</t>
        </is>
      </c>
      <c r="B49" s="42" t="n"/>
      <c r="C49" s="83" t="inlineStr">
        <is>
          <t>Plano Odontológico</t>
        </is>
      </c>
      <c r="D49" s="80" t="n"/>
      <c r="E49" s="80" t="n"/>
      <c r="F49" s="80" t="n"/>
      <c r="G49" s="81" t="n"/>
      <c r="H49" s="82" t="n">
        <v>0</v>
      </c>
      <c r="I49" s="81" t="n"/>
    </row>
    <row r="50">
      <c r="A50" s="83" t="inlineStr">
        <is>
          <t>2.3.6</t>
        </is>
      </c>
      <c r="B50" s="42" t="n"/>
      <c r="C50" s="83" t="inlineStr">
        <is>
          <t>Auxílio Educação (Bolsas de Estudos, Pós-graduação, Outros.)</t>
        </is>
      </c>
      <c r="D50" s="80" t="n"/>
      <c r="E50" s="80" t="n"/>
      <c r="F50" s="80" t="n"/>
      <c r="G50" s="81" t="n"/>
      <c r="H50" s="82" t="n">
        <v>0</v>
      </c>
      <c r="I50" s="81" t="n"/>
    </row>
    <row r="51">
      <c r="A51" s="83" t="inlineStr">
        <is>
          <t>2.3.7</t>
        </is>
      </c>
      <c r="B51" s="42" t="n"/>
      <c r="C51" s="83" t="inlineStr">
        <is>
          <t>Salário Família</t>
        </is>
      </c>
      <c r="D51" s="80" t="n"/>
      <c r="E51" s="80" t="n"/>
      <c r="F51" s="80" t="n"/>
      <c r="G51" s="81" t="n"/>
      <c r="H51" s="82" t="n">
        <v>0</v>
      </c>
      <c r="I51" s="81" t="n"/>
    </row>
    <row r="52">
      <c r="A52" s="83" t="inlineStr">
        <is>
          <t>2.3.8</t>
        </is>
      </c>
      <c r="B52" s="42" t="n"/>
      <c r="C52" s="83" t="inlineStr">
        <is>
          <t>Outros Benefícios (Especificar)</t>
        </is>
      </c>
      <c r="D52" s="80" t="n"/>
      <c r="E52" s="80" t="n"/>
      <c r="F52" s="80" t="n"/>
      <c r="G52" s="81" t="n"/>
      <c r="H52" s="82" t="n">
        <v>200</v>
      </c>
      <c r="I52" s="81" t="n"/>
    </row>
    <row r="53">
      <c r="A53" s="77" t="inlineStr">
        <is>
          <t>Subtotal</t>
        </is>
      </c>
      <c r="B53" s="78" t="n"/>
      <c r="C53" s="78" t="n"/>
      <c r="D53" s="78" t="n"/>
      <c r="E53" s="78" t="n"/>
      <c r="F53" s="78" t="n"/>
      <c r="G53" s="78" t="n"/>
      <c r="H53" s="84">
        <f>SUM(H45:H52)</f>
        <v/>
      </c>
      <c r="I53" s="78" t="n"/>
    </row>
    <row r="54" ht="24" customHeight="1" s="5">
      <c r="A54" s="77" t="inlineStr">
        <is>
          <t>2.4</t>
        </is>
      </c>
      <c r="B54" s="85" t="n"/>
      <c r="C54" s="77" t="inlineStr">
        <is>
          <t>Serviços de Terceiros</t>
        </is>
      </c>
      <c r="D54" s="78" t="n"/>
      <c r="E54" s="78" t="n"/>
      <c r="F54" s="78" t="n"/>
      <c r="G54" s="78" t="n"/>
      <c r="H54" s="77" t="inlineStr">
        <is>
          <t>Despesas Pagas</t>
        </is>
      </c>
      <c r="I54" s="78" t="n"/>
    </row>
    <row r="55">
      <c r="A55" s="86" t="inlineStr">
        <is>
          <t>2.4.1</t>
        </is>
      </c>
      <c r="B55" s="1" t="n"/>
      <c r="C55" s="51" t="inlineStr">
        <is>
          <t>Manutenção de Máquinas e Equipamentos</t>
        </is>
      </c>
      <c r="H55" s="87" t="n">
        <v>0</v>
      </c>
    </row>
    <row r="56">
      <c r="A56" s="86" t="inlineStr">
        <is>
          <t>2.4.2</t>
        </is>
      </c>
      <c r="B56" s="1" t="n"/>
      <c r="C56" s="51" t="inlineStr">
        <is>
          <t>Auditoria Externa</t>
        </is>
      </c>
      <c r="H56" s="87" t="n">
        <v>0</v>
      </c>
    </row>
    <row r="57">
      <c r="A57" s="86" t="inlineStr">
        <is>
          <t>2.4.3</t>
        </is>
      </c>
      <c r="B57" s="1" t="n"/>
      <c r="C57" s="51" t="inlineStr">
        <is>
          <t>Assessoria Jurídica</t>
        </is>
      </c>
      <c r="H57" s="87" t="n">
        <v>11186.5</v>
      </c>
    </row>
    <row r="58">
      <c r="A58" s="86" t="inlineStr">
        <is>
          <t>2.4.4</t>
        </is>
      </c>
      <c r="B58" s="1" t="n"/>
      <c r="C58" s="51" t="inlineStr">
        <is>
          <t>Assessoria Contábil</t>
        </is>
      </c>
      <c r="H58" s="87" t="n">
        <v>600</v>
      </c>
    </row>
    <row r="59">
      <c r="A59" s="86" t="inlineStr">
        <is>
          <t>2.4.5</t>
        </is>
      </c>
      <c r="B59" s="1" t="n"/>
      <c r="C59" s="51" t="inlineStr">
        <is>
          <t>Serviços de Segurança</t>
        </is>
      </c>
      <c r="H59" s="87" t="n">
        <v>0</v>
      </c>
    </row>
    <row r="60">
      <c r="A60" s="86" t="inlineStr">
        <is>
          <t>2.4.6</t>
        </is>
      </c>
      <c r="B60" s="1" t="n"/>
      <c r="C60" s="51" t="inlineStr">
        <is>
          <t>Manutenção e Suporte em Software</t>
        </is>
      </c>
      <c r="H60" s="87" t="n">
        <v>660.6</v>
      </c>
    </row>
    <row r="61">
      <c r="A61" s="86" t="inlineStr">
        <is>
          <t>2.4.7</t>
        </is>
      </c>
      <c r="B61" s="1" t="n"/>
      <c r="C61" s="51" t="inlineStr">
        <is>
          <t>Locação de Equipamentos e Máquinas</t>
        </is>
      </c>
      <c r="H61" s="87" t="n">
        <v>0</v>
      </c>
    </row>
    <row r="62">
      <c r="A62" s="86" t="inlineStr">
        <is>
          <t>2.4.8</t>
        </is>
      </c>
      <c r="B62" s="1" t="n"/>
      <c r="C62" s="51" t="inlineStr">
        <is>
          <t>Locação de Imóveis</t>
        </is>
      </c>
      <c r="H62" s="87" t="n">
        <v>0</v>
      </c>
    </row>
    <row r="63">
      <c r="A63" s="86" t="inlineStr">
        <is>
          <t>2.4.9</t>
        </is>
      </c>
      <c r="B63" s="1" t="n"/>
      <c r="C63" s="51" t="inlineStr">
        <is>
          <t>Despesas de Frete e Locação de Veículos</t>
        </is>
      </c>
      <c r="H63" s="87" t="n">
        <v>0</v>
      </c>
    </row>
    <row r="64">
      <c r="A64" s="86" t="inlineStr">
        <is>
          <t>2.4.10</t>
        </is>
      </c>
      <c r="B64" s="1" t="n"/>
      <c r="C64" s="51" t="inlineStr">
        <is>
          <t>Eventos, Cursos e Oficinas</t>
        </is>
      </c>
      <c r="H64" s="87" t="n">
        <v>9148.09</v>
      </c>
    </row>
    <row r="65">
      <c r="A65" s="86" t="inlineStr">
        <is>
          <t>2.4.11</t>
        </is>
      </c>
      <c r="B65" s="1" t="n"/>
      <c r="C65" s="51" t="inlineStr">
        <is>
          <t>Serviços Gráficos</t>
        </is>
      </c>
      <c r="H65" s="87" t="n">
        <v>0</v>
      </c>
    </row>
    <row r="66">
      <c r="A66" s="86" t="inlineStr">
        <is>
          <t>2.4.12</t>
        </is>
      </c>
      <c r="B66" s="1" t="n"/>
      <c r="C66" s="51" t="inlineStr">
        <is>
          <t>Outros Serviços de Terceiros (Especificar)</t>
        </is>
      </c>
      <c r="H66" s="87" t="n">
        <v>109913.36</v>
      </c>
    </row>
    <row r="67">
      <c r="A67" s="77" t="inlineStr">
        <is>
          <t>Subtotal</t>
        </is>
      </c>
      <c r="B67" s="78" t="n"/>
      <c r="C67" s="78" t="n"/>
      <c r="D67" s="78" t="n"/>
      <c r="E67" s="78" t="n"/>
      <c r="F67" s="78" t="n"/>
      <c r="G67" s="78" t="n"/>
      <c r="H67" s="84">
        <f>SUM(H55:H66)</f>
        <v/>
      </c>
      <c r="I67" s="78" t="n"/>
    </row>
    <row r="68" ht="24" customHeight="1" s="5">
      <c r="A68" s="77" t="inlineStr">
        <is>
          <t>2.5</t>
        </is>
      </c>
      <c r="B68" s="85" t="n"/>
      <c r="C68" s="77" t="inlineStr">
        <is>
          <t>Despesas Gerais</t>
        </is>
      </c>
      <c r="D68" s="78" t="n"/>
      <c r="E68" s="78" t="n"/>
      <c r="F68" s="78" t="n"/>
      <c r="G68" s="78" t="n"/>
      <c r="H68" s="77" t="inlineStr">
        <is>
          <t>Despesas Pagas</t>
        </is>
      </c>
      <c r="I68" s="78" t="n"/>
    </row>
    <row r="69">
      <c r="A69" s="86" t="inlineStr">
        <is>
          <t>2.5.1</t>
        </is>
      </c>
      <c r="B69" s="1" t="n"/>
      <c r="C69" s="51" t="inlineStr">
        <is>
          <t>Telefonia</t>
        </is>
      </c>
      <c r="H69" s="87" t="n">
        <v>0</v>
      </c>
    </row>
    <row r="70">
      <c r="A70" s="86" t="inlineStr">
        <is>
          <t>2.5.2</t>
        </is>
      </c>
      <c r="B70" s="1" t="n"/>
      <c r="C70" s="51" t="inlineStr">
        <is>
          <t>Energia Elétrica</t>
        </is>
      </c>
      <c r="H70" s="87" t="n">
        <v>604.62</v>
      </c>
    </row>
    <row r="71">
      <c r="A71" s="86" t="inlineStr">
        <is>
          <t>2.5.3</t>
        </is>
      </c>
      <c r="B71" s="1" t="n"/>
      <c r="C71" s="51" t="inlineStr">
        <is>
          <t>Água e Esgoto</t>
        </is>
      </c>
      <c r="H71" s="87" t="n">
        <v>61.52</v>
      </c>
    </row>
    <row r="72">
      <c r="A72" s="86" t="inlineStr">
        <is>
          <t>2.5.4</t>
        </is>
      </c>
      <c r="B72" s="1" t="n"/>
      <c r="C72" s="51" t="inlineStr">
        <is>
          <t>Correios, Telégrafos e Internet</t>
        </is>
      </c>
      <c r="H72" s="87" t="n">
        <v>117.5</v>
      </c>
    </row>
    <row r="73">
      <c r="A73" s="86" t="inlineStr">
        <is>
          <t>2.5.5</t>
        </is>
      </c>
      <c r="B73" s="1" t="n"/>
      <c r="C73" s="51" t="inlineStr">
        <is>
          <t>Material de Copa e Cozinha</t>
        </is>
      </c>
      <c r="H73" s="87" t="n">
        <v>362.26</v>
      </c>
    </row>
    <row r="74">
      <c r="A74" s="86" t="inlineStr">
        <is>
          <t>2.5.6</t>
        </is>
      </c>
      <c r="B74" s="1" t="n"/>
      <c r="C74" s="51" t="inlineStr">
        <is>
          <t>Material de Limpeza</t>
        </is>
      </c>
      <c r="H74" s="87" t="n">
        <v>159.69</v>
      </c>
    </row>
    <row r="75">
      <c r="A75" s="86" t="inlineStr">
        <is>
          <t>2.5.7</t>
        </is>
      </c>
      <c r="B75" s="1" t="n"/>
      <c r="C75" s="51" t="inlineStr">
        <is>
          <t>Material de Expediente</t>
        </is>
      </c>
      <c r="H75" s="87" t="n">
        <v>7.75</v>
      </c>
    </row>
    <row r="76">
      <c r="A76" s="86" t="inlineStr">
        <is>
          <t>2.5.8</t>
        </is>
      </c>
      <c r="B76" s="1" t="n"/>
      <c r="C76" s="51" t="inlineStr">
        <is>
          <t>Despesas de Viagem (Diárias, hospedagens, alimentação, traslados e outros)</t>
        </is>
      </c>
      <c r="H76" s="87" t="n">
        <v>0</v>
      </c>
    </row>
    <row r="77">
      <c r="A77" s="86" t="inlineStr">
        <is>
          <t>2.5.9</t>
        </is>
      </c>
      <c r="B77" s="1" t="n"/>
      <c r="C77" s="51" t="inlineStr">
        <is>
          <t>Passagens</t>
        </is>
      </c>
      <c r="H77" s="87" t="n">
        <v>0</v>
      </c>
    </row>
    <row r="78">
      <c r="A78" s="86" t="inlineStr">
        <is>
          <t>2.5.10</t>
        </is>
      </c>
      <c r="B78" s="1" t="n"/>
      <c r="C78" s="51" t="inlineStr">
        <is>
          <t>Seguros</t>
        </is>
      </c>
      <c r="H78" s="87" t="n">
        <v>0</v>
      </c>
    </row>
    <row r="79">
      <c r="A79" s="86" t="inlineStr">
        <is>
          <t>2.5.11</t>
        </is>
      </c>
      <c r="B79" s="1" t="n"/>
      <c r="C79" s="51" t="inlineStr">
        <is>
          <t>Despesas Bancárias</t>
        </is>
      </c>
      <c r="H79" s="87" t="n">
        <v>7934.65</v>
      </c>
    </row>
    <row r="80">
      <c r="A80" s="86" t="inlineStr">
        <is>
          <t>2.5.12</t>
        </is>
      </c>
      <c r="B80" s="1" t="n"/>
      <c r="C80" s="51" t="inlineStr">
        <is>
          <t>Juros e Multas</t>
        </is>
      </c>
      <c r="H80" s="87" t="n">
        <v>0</v>
      </c>
    </row>
    <row r="81">
      <c r="A81" s="86" t="inlineStr">
        <is>
          <t>2.5.13</t>
        </is>
      </c>
      <c r="B81" s="1" t="n"/>
      <c r="C81" s="51" t="inlineStr">
        <is>
          <t>Combustível</t>
        </is>
      </c>
      <c r="H81" s="87" t="n">
        <v>38.09</v>
      </c>
    </row>
    <row r="82">
      <c r="A82" s="86" t="inlineStr">
        <is>
          <t>2.5.14</t>
        </is>
      </c>
      <c r="B82" s="1" t="n"/>
      <c r="C82" s="51" t="inlineStr">
        <is>
          <t>Seguro de Veículo</t>
        </is>
      </c>
      <c r="H82" s="87" t="n">
        <v>143.22</v>
      </c>
    </row>
    <row r="83">
      <c r="A83" s="86" t="inlineStr">
        <is>
          <t>2.5.15</t>
        </is>
      </c>
      <c r="B83" s="1" t="n"/>
      <c r="C83" s="51" t="inlineStr">
        <is>
          <t>Outras despesas Gerais</t>
        </is>
      </c>
      <c r="H83" s="87" t="n">
        <v>1161.79</v>
      </c>
    </row>
    <row r="84">
      <c r="A84" s="77" t="inlineStr">
        <is>
          <t>Subtotal</t>
        </is>
      </c>
      <c r="B84" s="78" t="n"/>
      <c r="C84" s="78" t="n"/>
      <c r="D84" s="78" t="n"/>
      <c r="E84" s="78" t="n"/>
      <c r="F84" s="78" t="n"/>
      <c r="G84" s="78" t="n"/>
      <c r="H84" s="84">
        <f>SUM(H69:H83)</f>
        <v/>
      </c>
      <c r="I84" s="78" t="n"/>
    </row>
    <row r="85" ht="24" customHeight="1" s="5">
      <c r="A85" s="77" t="inlineStr">
        <is>
          <t>2.6</t>
        </is>
      </c>
      <c r="B85" s="85" t="n"/>
      <c r="C85" s="77" t="inlineStr">
        <is>
          <t>Tributos</t>
        </is>
      </c>
      <c r="D85" s="78" t="n"/>
      <c r="E85" s="78" t="n"/>
      <c r="F85" s="78" t="n"/>
      <c r="G85" s="78" t="n"/>
      <c r="H85" s="77" t="inlineStr">
        <is>
          <t>Despesas Pagas</t>
        </is>
      </c>
      <c r="I85" s="78" t="n"/>
    </row>
    <row r="86">
      <c r="A86" s="86" t="inlineStr">
        <is>
          <t>2.6.1</t>
        </is>
      </c>
      <c r="B86" s="1" t="n"/>
      <c r="C86" s="51" t="inlineStr">
        <is>
          <t>IOF</t>
        </is>
      </c>
      <c r="H86" s="87" t="n">
        <v>0</v>
      </c>
    </row>
    <row r="87">
      <c r="A87" s="86" t="inlineStr">
        <is>
          <t>2.6.2</t>
        </is>
      </c>
      <c r="B87" s="1" t="n"/>
      <c r="C87" s="51" t="inlineStr">
        <is>
          <t>IRFF sobre aplicações</t>
        </is>
      </c>
      <c r="H87" s="87" t="n">
        <v>0</v>
      </c>
    </row>
    <row r="88">
      <c r="A88" s="86" t="inlineStr">
        <is>
          <t>2.6.3</t>
        </is>
      </c>
      <c r="B88" s="1" t="n"/>
      <c r="C88" s="51" t="inlineStr">
        <is>
          <t>IPVA/RENAVAM/Licenciamento/Seguro Obrigatório</t>
        </is>
      </c>
      <c r="H88" s="87" t="n">
        <v>0</v>
      </c>
    </row>
    <row r="89">
      <c r="A89" s="86" t="inlineStr">
        <is>
          <t>2.6.4</t>
        </is>
      </c>
      <c r="B89" s="1" t="n"/>
      <c r="C89" s="51" t="inlineStr">
        <is>
          <t>IPTU</t>
        </is>
      </c>
      <c r="H89" s="87" t="n">
        <v>0</v>
      </c>
    </row>
    <row r="90">
      <c r="A90" s="86" t="inlineStr">
        <is>
          <t>2.6.5</t>
        </is>
      </c>
      <c r="B90" s="1" t="n"/>
      <c r="C90" s="51" t="inlineStr">
        <is>
          <t>Outros Tributos (Especificar)</t>
        </is>
      </c>
      <c r="H90" s="87" t="n">
        <v>0</v>
      </c>
    </row>
    <row r="91">
      <c r="A91" s="77" t="inlineStr">
        <is>
          <t>Subtotal</t>
        </is>
      </c>
      <c r="B91" s="78" t="n"/>
      <c r="C91" s="78" t="n"/>
      <c r="D91" s="78" t="n"/>
      <c r="E91" s="78" t="n"/>
      <c r="F91" s="78" t="n"/>
      <c r="G91" s="78" t="n"/>
      <c r="H91" s="84">
        <f>SUM(H86:H90)</f>
        <v/>
      </c>
      <c r="I91" s="78" t="n"/>
    </row>
    <row r="92" ht="24" customHeight="1" s="5">
      <c r="A92" s="77" t="inlineStr">
        <is>
          <t>2.7</t>
        </is>
      </c>
      <c r="B92" s="85" t="n"/>
      <c r="C92" s="77" t="inlineStr">
        <is>
          <t>Despesas de Bens Permanentes</t>
        </is>
      </c>
      <c r="D92" s="78" t="n"/>
      <c r="E92" s="78" t="n"/>
      <c r="F92" s="78" t="n"/>
      <c r="G92" s="78" t="n"/>
      <c r="H92" s="77" t="inlineStr">
        <is>
          <t>Despesas Pagas</t>
        </is>
      </c>
      <c r="I92" s="78" t="n"/>
    </row>
    <row r="93">
      <c r="A93" s="86" t="inlineStr">
        <is>
          <t>2.7.1</t>
        </is>
      </c>
      <c r="B93" s="1" t="n"/>
      <c r="C93" s="51" t="inlineStr">
        <is>
          <t>Móveis e Utensílios</t>
        </is>
      </c>
      <c r="H93" s="87" t="n">
        <v>398</v>
      </c>
    </row>
    <row r="94">
      <c r="A94" s="86" t="inlineStr">
        <is>
          <t>2.7.2</t>
        </is>
      </c>
      <c r="B94" s="1" t="n"/>
      <c r="C94" s="51" t="inlineStr">
        <is>
          <t>Máquinas e Equipamentos</t>
        </is>
      </c>
      <c r="H94" s="87" t="n">
        <v>248</v>
      </c>
    </row>
    <row r="95">
      <c r="A95" s="86" t="inlineStr">
        <is>
          <t>2.7.3</t>
        </is>
      </c>
      <c r="B95" s="1" t="n"/>
      <c r="C95" s="51" t="inlineStr">
        <is>
          <t>Computadores</t>
        </is>
      </c>
      <c r="H95" s="87" t="n">
        <v>0</v>
      </c>
    </row>
    <row r="96">
      <c r="A96" s="86" t="inlineStr">
        <is>
          <t>2.7.4</t>
        </is>
      </c>
      <c r="B96" s="1" t="n"/>
      <c r="C96" s="51" t="inlineStr">
        <is>
          <t>Veículos</t>
        </is>
      </c>
      <c r="H96" s="87" t="n">
        <v>0</v>
      </c>
    </row>
    <row r="97">
      <c r="A97" s="86" t="inlineStr">
        <is>
          <t>2.7.5</t>
        </is>
      </c>
      <c r="B97" s="1" t="n"/>
      <c r="C97" s="51" t="inlineStr">
        <is>
          <t>Softwares e Sistemas Operacionais</t>
        </is>
      </c>
      <c r="H97" s="87" t="n">
        <v>0</v>
      </c>
    </row>
    <row r="98">
      <c r="A98" s="86" t="inlineStr">
        <is>
          <t>2.7.6</t>
        </is>
      </c>
      <c r="B98" s="1" t="n"/>
      <c r="C98" s="51" t="inlineStr">
        <is>
          <t>Outros (Especificar)</t>
        </is>
      </c>
      <c r="H98" s="87" t="n">
        <v>0</v>
      </c>
    </row>
    <row r="99">
      <c r="A99" s="77" t="inlineStr">
        <is>
          <t>Subtotal</t>
        </is>
      </c>
      <c r="B99" s="78" t="n"/>
      <c r="C99" s="78" t="n"/>
      <c r="D99" s="78" t="n"/>
      <c r="E99" s="78" t="n"/>
      <c r="F99" s="78" t="n"/>
      <c r="G99" s="78" t="n"/>
      <c r="H99" s="84">
        <f>SUM(H93:H98)</f>
        <v/>
      </c>
      <c r="I99" s="78" t="n"/>
    </row>
    <row r="100">
      <c r="A100" s="77" t="inlineStr">
        <is>
          <t>Total Geral de Despesas</t>
        </is>
      </c>
      <c r="B100" s="78" t="n"/>
      <c r="C100" s="78" t="n"/>
      <c r="D100" s="78" t="n"/>
      <c r="E100" s="78" t="n"/>
      <c r="F100" s="78" t="n"/>
      <c r="G100" s="78" t="n"/>
      <c r="H100" s="84">
        <f>SUM(H29,H43,H53,H67,H84,H91,H99)</f>
        <v/>
      </c>
      <c r="I100" s="78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</row>
    <row r="102">
      <c r="A102" s="88" t="inlineStr">
        <is>
          <t>(+) Saldo anterior em contas :</t>
        </is>
      </c>
      <c r="B102" s="30" t="n"/>
      <c r="C102" s="30" t="n"/>
      <c r="D102" s="30" t="n"/>
      <c r="E102" s="30" t="n"/>
      <c r="F102" s="30" t="n"/>
      <c r="G102" s="30" t="n"/>
      <c r="H102" s="89" t="n">
        <v>28787.25</v>
      </c>
      <c r="I102" s="18" t="n"/>
    </row>
    <row r="103">
      <c r="A103" s="90" t="inlineStr">
        <is>
          <t>(+) Saldo anterior em espécie :</t>
        </is>
      </c>
      <c r="H103" s="91" t="n">
        <v>16657.49</v>
      </c>
      <c r="I103" s="22" t="n"/>
    </row>
    <row r="104">
      <c r="A104" s="90" t="inlineStr">
        <is>
          <t>(+) Receitas :</t>
        </is>
      </c>
      <c r="H104" s="92">
        <f>H23</f>
        <v/>
      </c>
      <c r="I104" s="22" t="n"/>
    </row>
    <row r="105">
      <c r="A105" s="90" t="inlineStr">
        <is>
          <t>(-) Despesas:</t>
        </is>
      </c>
      <c r="H105" s="92">
        <f>H100</f>
        <v/>
      </c>
      <c r="I105" s="22" t="n"/>
    </row>
    <row r="106">
      <c r="A106" s="93" t="inlineStr">
        <is>
          <t>(=) Resultado:</t>
        </is>
      </c>
      <c r="B106" s="34" t="n"/>
      <c r="C106" s="34" t="n"/>
      <c r="D106" s="34" t="n"/>
      <c r="E106" s="34" t="n"/>
      <c r="F106" s="34" t="n"/>
      <c r="G106" s="34" t="n"/>
      <c r="H106" s="94">
        <f>H102+H103+H104-H105</f>
        <v/>
      </c>
      <c r="I106" s="32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</row>
    <row r="109">
      <c r="A109" s="51" t="inlineStr">
        <is>
          <t>https://aplb.sispc.com.br/apps/financeiro/files/receitas/print_relat.php?id=366</t>
        </is>
      </c>
      <c r="H109" s="51" t="inlineStr">
        <is>
          <t>2/2</t>
        </is>
      </c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</row>
  </sheetData>
  <mergeCells count="195">
    <mergeCell ref="H82:I82"/>
    <mergeCell ref="H53:I53"/>
    <mergeCell ref="H35:I35"/>
    <mergeCell ref="C83:G83"/>
    <mergeCell ref="C68:G68"/>
    <mergeCell ref="A17:G17"/>
    <mergeCell ref="A53:G53"/>
    <mergeCell ref="A109:G109"/>
    <mergeCell ref="C58:G58"/>
    <mergeCell ref="H55:I55"/>
    <mergeCell ref="C45:G45"/>
    <mergeCell ref="C97:G97"/>
    <mergeCell ref="H39:I39"/>
    <mergeCell ref="C65:G65"/>
    <mergeCell ref="C47:G47"/>
    <mergeCell ref="C44:G44"/>
    <mergeCell ref="H94:I94"/>
    <mergeCell ref="H89:I89"/>
    <mergeCell ref="C31:G31"/>
    <mergeCell ref="C40:G40"/>
    <mergeCell ref="H52:I52"/>
    <mergeCell ref="H79:I79"/>
    <mergeCell ref="A103:G103"/>
    <mergeCell ref="C21:G21"/>
    <mergeCell ref="C95:G95"/>
    <mergeCell ref="H45:I45"/>
    <mergeCell ref="C60:G60"/>
    <mergeCell ref="H72:I72"/>
    <mergeCell ref="H81:I81"/>
    <mergeCell ref="C71:G71"/>
    <mergeCell ref="F15:I15"/>
    <mergeCell ref="H37:I37"/>
    <mergeCell ref="H96:I96"/>
    <mergeCell ref="H65:I65"/>
    <mergeCell ref="H105:I105"/>
    <mergeCell ref="H87:I87"/>
    <mergeCell ref="H62:I62"/>
    <mergeCell ref="A105:G105"/>
    <mergeCell ref="H71:I71"/>
    <mergeCell ref="C57:G57"/>
    <mergeCell ref="H23:I23"/>
    <mergeCell ref="C18:G18"/>
    <mergeCell ref="A23:G23"/>
    <mergeCell ref="H91:I91"/>
    <mergeCell ref="F13:I13"/>
    <mergeCell ref="C77:G77"/>
    <mergeCell ref="C34:G34"/>
    <mergeCell ref="C86:G86"/>
    <mergeCell ref="C42:G42"/>
    <mergeCell ref="A91:G91"/>
    <mergeCell ref="H54:I54"/>
    <mergeCell ref="A100:G100"/>
    <mergeCell ref="H63:I63"/>
    <mergeCell ref="H41:I41"/>
    <mergeCell ref="H93:I93"/>
    <mergeCell ref="H50:I50"/>
    <mergeCell ref="H102:I102"/>
    <mergeCell ref="H74:I74"/>
    <mergeCell ref="H56:I56"/>
    <mergeCell ref="H68:I68"/>
    <mergeCell ref="H83:I83"/>
    <mergeCell ref="H25:I25"/>
    <mergeCell ref="A102:G102"/>
    <mergeCell ref="H34:I34"/>
    <mergeCell ref="C20:G20"/>
    <mergeCell ref="C85:G85"/>
    <mergeCell ref="C94:G94"/>
    <mergeCell ref="H49:I49"/>
    <mergeCell ref="H85:I85"/>
    <mergeCell ref="C75:G75"/>
    <mergeCell ref="H36:I36"/>
    <mergeCell ref="C22:G22"/>
    <mergeCell ref="C80:G80"/>
    <mergeCell ref="H17:I17"/>
    <mergeCell ref="H69:I69"/>
    <mergeCell ref="C59:G59"/>
    <mergeCell ref="H109:I109"/>
    <mergeCell ref="C46:G46"/>
    <mergeCell ref="C51:G51"/>
    <mergeCell ref="H19:I19"/>
    <mergeCell ref="H75:I75"/>
    <mergeCell ref="H28:I28"/>
    <mergeCell ref="C61:G61"/>
    <mergeCell ref="C39:G39"/>
    <mergeCell ref="H80:I80"/>
    <mergeCell ref="C70:G70"/>
    <mergeCell ref="A14:E14"/>
    <mergeCell ref="C48:G48"/>
    <mergeCell ref="H95:I95"/>
    <mergeCell ref="H48:I48"/>
    <mergeCell ref="C38:G38"/>
    <mergeCell ref="H104:I104"/>
    <mergeCell ref="C32:G32"/>
    <mergeCell ref="C81:G81"/>
    <mergeCell ref="A104:G104"/>
    <mergeCell ref="H97:I97"/>
    <mergeCell ref="C87:G87"/>
    <mergeCell ref="H106:I106"/>
    <mergeCell ref="C49:G49"/>
    <mergeCell ref="H38:I38"/>
    <mergeCell ref="A106:G106"/>
    <mergeCell ref="H43:I43"/>
    <mergeCell ref="C33:G33"/>
    <mergeCell ref="C89:G89"/>
    <mergeCell ref="A3:I3"/>
    <mergeCell ref="H31:I31"/>
    <mergeCell ref="A43:G43"/>
    <mergeCell ref="A12:I12"/>
    <mergeCell ref="C74:G74"/>
    <mergeCell ref="H40:I40"/>
    <mergeCell ref="H58:I58"/>
    <mergeCell ref="C88:G88"/>
    <mergeCell ref="C26:G26"/>
    <mergeCell ref="C35:G35"/>
    <mergeCell ref="H21:I21"/>
    <mergeCell ref="H73:I73"/>
    <mergeCell ref="A67:G67"/>
    <mergeCell ref="H60:I60"/>
    <mergeCell ref="C50:G50"/>
    <mergeCell ref="C25:G25"/>
    <mergeCell ref="A24:G24"/>
    <mergeCell ref="C55:G55"/>
    <mergeCell ref="D1:G1"/>
    <mergeCell ref="A4:I4"/>
    <mergeCell ref="H100:I100"/>
    <mergeCell ref="H57:I57"/>
    <mergeCell ref="H84:I84"/>
    <mergeCell ref="H22:I22"/>
    <mergeCell ref="H66:I66"/>
    <mergeCell ref="C52:G52"/>
    <mergeCell ref="A84:G84"/>
    <mergeCell ref="H77:I77"/>
    <mergeCell ref="H86:I86"/>
    <mergeCell ref="H42:I42"/>
    <mergeCell ref="C72:G72"/>
    <mergeCell ref="C28:G28"/>
    <mergeCell ref="C37:G37"/>
    <mergeCell ref="A13:E13"/>
    <mergeCell ref="A6:I6"/>
    <mergeCell ref="C69:G69"/>
    <mergeCell ref="H92:I92"/>
    <mergeCell ref="C96:G96"/>
    <mergeCell ref="H30:I30"/>
    <mergeCell ref="C78:G78"/>
    <mergeCell ref="C92:G92"/>
    <mergeCell ref="H67:I67"/>
    <mergeCell ref="C30:G30"/>
    <mergeCell ref="H20:I20"/>
    <mergeCell ref="H103:I103"/>
    <mergeCell ref="H29:I29"/>
    <mergeCell ref="H78:I78"/>
    <mergeCell ref="C62:G62"/>
    <mergeCell ref="A15:E15"/>
    <mergeCell ref="C98:G98"/>
    <mergeCell ref="A29:G29"/>
    <mergeCell ref="H44:I44"/>
    <mergeCell ref="C64:G64"/>
    <mergeCell ref="C79:G79"/>
    <mergeCell ref="F14:I14"/>
    <mergeCell ref="C73:G73"/>
    <mergeCell ref="H59:I59"/>
    <mergeCell ref="H46:I46"/>
    <mergeCell ref="H64:I64"/>
    <mergeCell ref="C54:G54"/>
    <mergeCell ref="H98:I98"/>
    <mergeCell ref="C63:G63"/>
    <mergeCell ref="H51:I51"/>
    <mergeCell ref="C41:G41"/>
    <mergeCell ref="C93:G93"/>
    <mergeCell ref="H61:I61"/>
    <mergeCell ref="H88:I88"/>
    <mergeCell ref="H70:I70"/>
    <mergeCell ref="C56:G56"/>
    <mergeCell ref="C90:G90"/>
    <mergeCell ref="H32:I32"/>
    <mergeCell ref="H90:I90"/>
    <mergeCell ref="C76:G76"/>
    <mergeCell ref="H99:I99"/>
    <mergeCell ref="C27:G27"/>
    <mergeCell ref="C36:G36"/>
    <mergeCell ref="A8:E8"/>
    <mergeCell ref="H47:I47"/>
    <mergeCell ref="A99:G99"/>
    <mergeCell ref="H27:I27"/>
    <mergeCell ref="C82:G82"/>
    <mergeCell ref="A1:C1"/>
    <mergeCell ref="A10:E10"/>
    <mergeCell ref="H24:I24"/>
    <mergeCell ref="H76:I76"/>
    <mergeCell ref="H33:I33"/>
    <mergeCell ref="H18:I18"/>
    <mergeCell ref="C66:G66"/>
    <mergeCell ref="C19:G19"/>
    <mergeCell ref="A9:E9"/>
    <mergeCell ref="H26:I26"/>
  </mergeCells>
  <pageMargins left="0.25" right="0.25" top="0.45" bottom="0.45" header="0.5" footer="0.5"/>
  <pageSetup orientation="portrait" paperSize="9" fitToHeight="2" fitToWidth="1"/>
  <headerFooter>
    <oddHeader>&amp;L&amp;7 01/09/2026, 15:19&amp;C&amp;7 Relatório de Execução Financeira</oddHeader>
    <oddFooter>&amp;L&amp;7 https://aplb.sispc.com.br/apps/financeiro/files/receitas/print_relat.php?id=366&amp;R&amp;7 &amp;P/&amp;N</oddFooter>
    <evenHeader/>
    <evenFooter/>
    <firstHeader/>
    <firstFooter/>
  </headerFooter>
  <rowBreaks count="1" manualBreakCount="1">
    <brk id="60" min="0" max="16383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2026-09-01T18:24:21Z</dcterms:created>
  <dcterms:modified xmlns:dcterms="http://purl.org/dc/terms/" xmlns:xsi="http://www.w3.org/2001/XMLSchema-instance" xsi:type="dcterms:W3CDTF">2026-09-01T23:14:21Z</dcterms:modified>
  <cp:lastModifiedBy>Messiano Araujo</cp:lastModifiedBy>
</cp:coreProperties>
</file>